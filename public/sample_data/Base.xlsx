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udaykirankodaru/Documents/Machine Resale rate Caluclations/public/sample_data/"/>
    </mc:Choice>
  </mc:AlternateContent>
  <xr:revisionPtr revIDLastSave="0" documentId="13_ncr:1_{61A48627-FB41-F14A-9A19-6EF52DFE1EBF}" xr6:coauthVersionLast="47" xr6:coauthVersionMax="47" xr10:uidLastSave="{00000000-0000-0000-0000-000000000000}"/>
  <bookViews>
    <workbookView xWindow="0" yWindow="660" windowWidth="30240" windowHeight="18980" activeTab="10" xr2:uid="{00000000-000D-0000-FFFF-FFFF00000000}"/>
  </bookViews>
  <sheets>
    <sheet name="Systems" sheetId="1" r:id="rId1"/>
    <sheet name="Modules" sheetId="2" r:id="rId2"/>
    <sheet name="Parts" sheetId="3" r:id="rId3"/>
    <sheet name="QTC" sheetId="4" r:id="rId4"/>
    <sheet name="QTC Modules" sheetId="5" r:id="rId5"/>
    <sheet name="QTC Parts" sheetId="6" r:id="rId6"/>
    <sheet name="Conversion matrix " sheetId="13" r:id="rId7"/>
    <sheet name="CoreQInventory" sheetId="7" r:id="rId8"/>
    <sheet name="Scrap" sheetId="14" r:id="rId9"/>
    <sheet name="OutBase" sheetId="8" r:id="rId10"/>
    <sheet name="OutProfit" sheetId="9" r:id="rId11"/>
    <sheet name="ModelTable" sheetId="10" r:id="rId12"/>
    <sheet name="Out_BB" sheetId="11" r:id="rId13"/>
    <sheet name="Out_TOT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<sst xmlns="http://schemas.openxmlformats.org/spreadsheetml/2006/main" count="334" uniqueCount="130">
  <si>
    <t xml:space="preserve"> System</t>
  </si>
  <si>
    <t>Demand_12M</t>
  </si>
  <si>
    <t>Demand_24M</t>
  </si>
  <si>
    <t>Qinventory_12M</t>
  </si>
  <si>
    <t>Qinventory_24M</t>
  </si>
  <si>
    <t>275D</t>
  </si>
  <si>
    <t>350C</t>
  </si>
  <si>
    <t>450F</t>
  </si>
  <si>
    <t>850F</t>
  </si>
  <si>
    <t>Module</t>
  </si>
  <si>
    <t>System</t>
  </si>
  <si>
    <t>Wafer Transfer System (WTS)</t>
  </si>
  <si>
    <t xml:space="preserve">/22/60/80 </t>
  </si>
  <si>
    <t>Operator Console Unit (OCU)</t>
  </si>
  <si>
    <t>Wafer Prealignment System (WPS)</t>
  </si>
  <si>
    <t>Sensor Plate</t>
  </si>
  <si>
    <t>4022.430.13133</t>
  </si>
  <si>
    <t>UNK</t>
  </si>
  <si>
    <t>4022.435.24701</t>
  </si>
  <si>
    <t>4022.435.02062</t>
  </si>
  <si>
    <t>4022.454.37512</t>
  </si>
  <si>
    <t>4022.454.11374</t>
  </si>
  <si>
    <t>4022.454.11394</t>
  </si>
  <si>
    <t>/22/60/81</t>
  </si>
  <si>
    <t>Output type</t>
  </si>
  <si>
    <t>Input type</t>
  </si>
  <si>
    <t>Buy source system</t>
  </si>
  <si>
    <t>Remarketing fee</t>
  </si>
  <si>
    <t>Audit / De-install</t>
  </si>
  <si>
    <t>Freight (inbound)</t>
  </si>
  <si>
    <t>Freight (internal)</t>
  </si>
  <si>
    <t>Material module PWO</t>
  </si>
  <si>
    <t>Labor module PWO</t>
  </si>
  <si>
    <t>Material MTS/MTO/SO</t>
  </si>
  <si>
    <t>Risk reservation</t>
  </si>
  <si>
    <t>Lens</t>
  </si>
  <si>
    <t>Laser</t>
  </si>
  <si>
    <t>Labor MTS/MTO/SO</t>
  </si>
  <si>
    <t>Facility</t>
  </si>
  <si>
    <t>IMR</t>
  </si>
  <si>
    <t>Other cost (not booked)</t>
  </si>
  <si>
    <t>Total refurbishment cost</t>
  </si>
  <si>
    <t xml:space="preserve">Options (UF) </t>
  </si>
  <si>
    <t>Freight (outbound)</t>
  </si>
  <si>
    <t>Install labor</t>
  </si>
  <si>
    <t>Install materials</t>
  </si>
  <si>
    <t>Warranty</t>
  </si>
  <si>
    <t xml:space="preserve">Other cost (service products) </t>
  </si>
  <si>
    <t>Total cost</t>
  </si>
  <si>
    <t>Listprice system</t>
  </si>
  <si>
    <t>Listprice options</t>
  </si>
  <si>
    <t xml:space="preserve">Listprice service products </t>
  </si>
  <si>
    <t>Listprice freight</t>
  </si>
  <si>
    <t>Discount %</t>
  </si>
  <si>
    <t>Sales price (ASP)</t>
  </si>
  <si>
    <t>Accounting (install revenue)</t>
  </si>
  <si>
    <t>Net Sales</t>
  </si>
  <si>
    <t>Total Deal Margin</t>
  </si>
  <si>
    <t>System Margin</t>
  </si>
  <si>
    <t>1150C</t>
  </si>
  <si>
    <t>Parent</t>
  </si>
  <si>
    <t>275 SCP</t>
  </si>
  <si>
    <t>Blue Print (Hrs)</t>
  </si>
  <si>
    <t>Labor + Facility (per hr)</t>
  </si>
  <si>
    <t>Valuation (incoming part)</t>
  </si>
  <si>
    <t>Cost</t>
  </si>
  <si>
    <t>Material Cost</t>
  </si>
  <si>
    <t>Freight Cost</t>
  </si>
  <si>
    <t>Total Cost</t>
  </si>
  <si>
    <t>Repair Success</t>
  </si>
  <si>
    <t>Scrap Rate</t>
  </si>
  <si>
    <t>Prob (repair success)</t>
  </si>
  <si>
    <t>Total Cost (based on Prob)</t>
  </si>
  <si>
    <t>Delta Cost</t>
  </si>
  <si>
    <t>Part</t>
  </si>
  <si>
    <t>4022.454.65221</t>
  </si>
  <si>
    <t>CoreInventory</t>
  </si>
  <si>
    <t>QTC average BB price</t>
  </si>
  <si>
    <t>Recommended Buy for 12 M</t>
  </si>
  <si>
    <t>Core Inventory</t>
  </si>
  <si>
    <t>Recommended BB Price on Bundle</t>
  </si>
  <si>
    <t>type</t>
  </si>
  <si>
    <t>Metric</t>
  </si>
  <si>
    <t>Margin</t>
  </si>
  <si>
    <t>Valuation</t>
  </si>
  <si>
    <t>Buy Back</t>
  </si>
  <si>
    <t>Refurbishment</t>
  </si>
  <si>
    <t>null</t>
  </si>
  <si>
    <t>Harvesting - Module</t>
  </si>
  <si>
    <t>Harvesting - Parts</t>
  </si>
  <si>
    <t>EOL</t>
  </si>
  <si>
    <t>mnull</t>
  </si>
  <si>
    <t>Profit</t>
  </si>
  <si>
    <t>base</t>
  </si>
  <si>
    <t>output</t>
  </si>
  <si>
    <t>P</t>
  </si>
  <si>
    <t>C</t>
  </si>
  <si>
    <t>Delta</t>
  </si>
  <si>
    <t>inventory</t>
  </si>
  <si>
    <t>bundle</t>
  </si>
  <si>
    <t>Recommended_From_Other_Inventory</t>
  </si>
  <si>
    <t>Recommended_Buy_12M</t>
  </si>
  <si>
    <t>System 1</t>
  </si>
  <si>
    <t>System 2</t>
  </si>
  <si>
    <t>System 3</t>
  </si>
  <si>
    <t>Value</t>
  </si>
  <si>
    <t>Total Buy Back Value</t>
  </si>
  <si>
    <t>Total Inventory Value</t>
  </si>
  <si>
    <t>Total Profit</t>
  </si>
  <si>
    <t>Delta_{i,j}</t>
  </si>
  <si>
    <t xml:space="preserve">PAS5500/100A </t>
  </si>
  <si>
    <t xml:space="preserve">PAS5500/200 </t>
  </si>
  <si>
    <t xml:space="preserve">PAS5500/250C </t>
  </si>
  <si>
    <t xml:space="preserve">PAS5500/3x0 </t>
  </si>
  <si>
    <t xml:space="preserve">PAS5500/22/60/80 </t>
  </si>
  <si>
    <t>PAS5500/5x0</t>
  </si>
  <si>
    <t>PAS5500/11x0</t>
  </si>
  <si>
    <t>Wafer Stage (WS)</t>
  </si>
  <si>
    <t>id_component</t>
  </si>
  <si>
    <t>Type</t>
  </si>
  <si>
    <t>residual_value</t>
  </si>
  <si>
    <t>scrap_value</t>
  </si>
  <si>
    <t>PAS5500/100A</t>
  </si>
  <si>
    <t>PAS5500/200</t>
  </si>
  <si>
    <t>PAS5500/250C</t>
  </si>
  <si>
    <t>PAS5500/3x0</t>
  </si>
  <si>
    <t>PAS5500/22/60/80</t>
  </si>
  <si>
    <t>Total Without Scrap</t>
  </si>
  <si>
    <t>Scrap</t>
  </si>
  <si>
    <t>Total With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</si>
</sst>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1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0" xfId="0" applyFont="1" applyFill="1"/>
    <xf numFmtId="2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"/>
  <sheetViews>
    <sheetView workbookViewId="0">
      <selection activeCell="A6" sqref="A6"/>
    </sheetView>
  </sheetViews>
  <sheetFormatPr baseColWidth="10" defaultColWidth="11" defaultRowHeight="16" x14ac:dyDescent="0.2"/>
  <cols>
    <col min="2" max="3" width="31" customWidth="1"/>
    <col min="4" max="4" width="14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5</v>
      </c>
      <c r="C2">
        <v>12</v>
      </c>
      <c r="D2">
        <v>1</v>
      </c>
      <c r="E2">
        <v>3</v>
      </c>
    </row>
    <row r="3" spans="1:5" x14ac:dyDescent="0.2">
      <c r="A3" t="s">
        <v>6</v>
      </c>
      <c r="B3">
        <v>3</v>
      </c>
      <c r="C3">
        <v>8</v>
      </c>
      <c r="D3">
        <v>2</v>
      </c>
      <c r="E3">
        <v>4</v>
      </c>
    </row>
    <row r="4" spans="1:5" x14ac:dyDescent="0.2">
      <c r="A4" t="s">
        <v>7</v>
      </c>
      <c r="B4">
        <v>3</v>
      </c>
      <c r="C4">
        <v>6</v>
      </c>
      <c r="D4">
        <v>4</v>
      </c>
      <c r="E4">
        <v>7</v>
      </c>
    </row>
    <row r="5" spans="1:5" x14ac:dyDescent="0.2">
      <c r="A5" t="s">
        <v>8</v>
      </c>
      <c r="B5">
        <v>4</v>
      </c>
      <c r="C5">
        <v>9</v>
      </c>
      <c r="D5">
        <v>1</v>
      </c>
      <c r="E5">
        <v>2</v>
      </c>
    </row>
    <row r="6" spans="1:5" x14ac:dyDescent="0.2">
      <c r="A6" t="s">
        <v>59</v>
      </c>
      <c r="B6">
        <v>7</v>
      </c>
      <c r="C6">
        <v>11</v>
      </c>
      <c r="D6">
        <v>2</v>
      </c>
      <c r="E6">
        <v>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F6"/>
  <sheetViews>
    <sheetView workbookViewId="0">
      <selection activeCell="A6" sqref="A6"/>
    </sheetView>
  </sheetViews>
  <sheetFormatPr baseColWidth="10" defaultColWidth="11" defaultRowHeight="16" x14ac:dyDescent="0.2"/>
  <cols>
    <col min="1" max="1" width="29" bestFit="1" customWidth="1"/>
    <col min="2" max="2" width="44.5" customWidth="1"/>
    <col min="3" max="3" width="34.1640625" customWidth="1"/>
    <col min="5" max="5" width="14.1640625" customWidth="1"/>
  </cols>
  <sheetData>
    <row r="1" spans="1:6" x14ac:dyDescent="0.2">
      <c r="A1" t="s">
        <v>9</v>
      </c>
      <c r="B1" t="s">
        <v>10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11</v>
      </c>
      <c r="B2" s="1" t="s">
        <v>12</v>
      </c>
      <c r="C2">
        <v>2</v>
      </c>
      <c r="D2">
        <v>4</v>
      </c>
      <c r="E2">
        <v>2</v>
      </c>
      <c r="F2">
        <v>5</v>
      </c>
    </row>
    <row r="3" spans="1:6" x14ac:dyDescent="0.2">
      <c r="A3" t="s">
        <v>117</v>
      </c>
      <c r="B3" s="1" t="s">
        <v>12</v>
      </c>
      <c r="C3">
        <v>4</v>
      </c>
      <c r="D3">
        <v>8</v>
      </c>
      <c r="E3">
        <v>3</v>
      </c>
      <c r="F3">
        <v>6</v>
      </c>
    </row>
    <row r="4" spans="1:6" x14ac:dyDescent="0.2">
      <c r="A4" t="s">
        <v>13</v>
      </c>
      <c r="B4" s="1" t="s">
        <v>12</v>
      </c>
      <c r="C4">
        <v>3</v>
      </c>
      <c r="D4">
        <v>8</v>
      </c>
      <c r="E4">
        <v>3</v>
      </c>
      <c r="F4">
        <v>9</v>
      </c>
    </row>
    <row r="5" spans="1:6" x14ac:dyDescent="0.2">
      <c r="A5" t="s">
        <v>14</v>
      </c>
      <c r="B5" s="1" t="s">
        <v>12</v>
      </c>
      <c r="C5">
        <v>4</v>
      </c>
      <c r="D5">
        <v>10</v>
      </c>
      <c r="E5">
        <v>3</v>
      </c>
      <c r="F5">
        <v>4</v>
      </c>
    </row>
    <row r="6" spans="1:6" x14ac:dyDescent="0.2">
      <c r="A6" t="s">
        <v>15</v>
      </c>
      <c r="B6" s="1" t="s">
        <v>12</v>
      </c>
      <c r="C6">
        <v>4</v>
      </c>
      <c r="D6">
        <v>10</v>
      </c>
      <c r="E6">
        <v>4</v>
      </c>
      <c r="F6">
        <v>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7"/>
  <sheetViews>
    <sheetView workbookViewId="0">
      <selection activeCell="F10" sqref="F10"/>
    </sheetView>
  </sheetViews>
  <sheetFormatPr baseColWidth="10" defaultColWidth="11" defaultRowHeight="16" x14ac:dyDescent="0.2"/>
  <sheetData>
    <row r="1" spans="1:7" x14ac:dyDescent="0.2">
      <c r="A1" s="2" t="s">
        <v>9</v>
      </c>
      <c r="B1" s="2" t="s">
        <v>10</v>
      </c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2">
      <c r="A2" s="2" t="s">
        <v>16</v>
      </c>
      <c r="B2" s="3" t="s">
        <v>12</v>
      </c>
      <c r="C2" s="5" t="s">
        <v>17</v>
      </c>
      <c r="D2" s="2">
        <v>5</v>
      </c>
      <c r="E2" s="2">
        <v>12</v>
      </c>
      <c r="F2" s="2">
        <v>5</v>
      </c>
      <c r="G2" s="2">
        <v>6</v>
      </c>
    </row>
    <row r="3" spans="1:7" x14ac:dyDescent="0.2">
      <c r="A3" s="2" t="s">
        <v>18</v>
      </c>
      <c r="B3" s="4" t="s">
        <v>12</v>
      </c>
      <c r="C3" s="5" t="s">
        <v>17</v>
      </c>
      <c r="D3" s="2">
        <v>6</v>
      </c>
      <c r="E3" s="2">
        <v>8</v>
      </c>
      <c r="F3" s="2">
        <v>5</v>
      </c>
      <c r="G3" s="2">
        <v>5</v>
      </c>
    </row>
    <row r="4" spans="1:7" x14ac:dyDescent="0.2">
      <c r="A4" s="2" t="s">
        <v>19</v>
      </c>
      <c r="B4" s="4" t="s">
        <v>12</v>
      </c>
      <c r="C4" s="5" t="s">
        <v>17</v>
      </c>
      <c r="D4" s="2">
        <v>4</v>
      </c>
      <c r="E4" s="2">
        <v>8</v>
      </c>
      <c r="F4" s="2">
        <v>4</v>
      </c>
      <c r="G4" s="2">
        <v>5</v>
      </c>
    </row>
    <row r="5" spans="1:7" x14ac:dyDescent="0.2">
      <c r="A5" s="2" t="s">
        <v>20</v>
      </c>
      <c r="B5" s="4" t="s">
        <v>12</v>
      </c>
      <c r="C5" s="5" t="s">
        <v>17</v>
      </c>
      <c r="D5" s="2">
        <v>7</v>
      </c>
      <c r="E5" s="2">
        <v>14</v>
      </c>
      <c r="F5" s="2">
        <v>7</v>
      </c>
      <c r="G5" s="2">
        <v>4</v>
      </c>
    </row>
    <row r="6" spans="1:7" x14ac:dyDescent="0.2">
      <c r="A6" s="2" t="s">
        <v>21</v>
      </c>
      <c r="B6" s="4" t="s">
        <v>12</v>
      </c>
      <c r="C6" s="5" t="s">
        <v>17</v>
      </c>
      <c r="D6" s="2">
        <v>4</v>
      </c>
      <c r="E6" s="2">
        <v>7</v>
      </c>
      <c r="F6" s="2">
        <v>4</v>
      </c>
      <c r="G6" s="2">
        <v>4</v>
      </c>
    </row>
    <row r="7" spans="1:7" x14ac:dyDescent="0.2">
      <c r="A7" t="s">
        <v>22</v>
      </c>
      <c r="B7" s="4" t="s">
        <v>23</v>
      </c>
      <c r="C7" s="5" t="s">
        <v>17</v>
      </c>
      <c r="D7">
        <v>7</v>
      </c>
      <c r="E7">
        <v>10</v>
      </c>
      <c r="F7">
        <v>7</v>
      </c>
      <c r="G7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I11"/>
  <sheetViews>
    <sheetView topLeftCell="X1" workbookViewId="0">
      <selection activeCell="A11" sqref="A11"/>
    </sheetView>
  </sheetViews>
  <sheetFormatPr baseColWidth="10" defaultColWidth="11" defaultRowHeight="16" x14ac:dyDescent="0.2"/>
  <cols>
    <col min="2" max="2" width="32.5" customWidth="1"/>
    <col min="3" max="3" width="12.6640625" bestFit="1" customWidth="1"/>
    <col min="4" max="4" width="23" customWidth="1"/>
    <col min="5" max="5" width="32" customWidth="1"/>
    <col min="6" max="6" width="22" customWidth="1"/>
    <col min="7" max="7" width="11" bestFit="1" customWidth="1"/>
    <col min="8" max="8" width="12.6640625" bestFit="1" customWidth="1"/>
    <col min="9" max="16" width="11.6640625" bestFit="1" customWidth="1"/>
    <col min="17" max="17" width="11" bestFit="1" customWidth="1"/>
    <col min="18" max="18" width="12.6640625" bestFit="1" customWidth="1"/>
    <col min="19" max="19" width="11.6640625" bestFit="1" customWidth="1"/>
    <col min="20" max="20" width="11" bestFit="1" customWidth="1"/>
    <col min="21" max="21" width="11.6640625" bestFit="1" customWidth="1"/>
    <col min="22" max="22" width="11" bestFit="1" customWidth="1"/>
    <col min="23" max="24" width="11.6640625" bestFit="1" customWidth="1"/>
    <col min="25" max="25" width="12.6640625" bestFit="1" customWidth="1"/>
    <col min="26" max="26" width="13.6640625" bestFit="1" customWidth="1"/>
    <col min="27" max="27" width="12.6640625" bestFit="1" customWidth="1"/>
    <col min="28" max="28" width="11.6640625" bestFit="1" customWidth="1"/>
    <col min="29" max="30" width="11" bestFit="1" customWidth="1"/>
    <col min="31" max="31" width="13.6640625" bestFit="1" customWidth="1"/>
    <col min="32" max="32" width="11.6640625" bestFit="1" customWidth="1"/>
    <col min="33" max="33" width="13.6640625" bestFit="1" customWidth="1"/>
    <col min="34" max="35" width="11" bestFit="1" customWidth="1"/>
  </cols>
  <sheetData>
    <row r="1" spans="1:35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</row>
    <row r="2" spans="1:35" x14ac:dyDescent="0.2">
      <c r="A2" t="s">
        <v>5</v>
      </c>
      <c r="B2" t="s">
        <v>110</v>
      </c>
      <c r="C2" s="6">
        <v>350</v>
      </c>
      <c r="D2" s="6"/>
      <c r="E2" s="6">
        <v>62</v>
      </c>
      <c r="F2" s="6">
        <v>73</v>
      </c>
      <c r="G2" s="6">
        <v>0</v>
      </c>
      <c r="H2" s="6">
        <v>773</v>
      </c>
      <c r="I2" s="6">
        <v>0</v>
      </c>
      <c r="J2" s="6">
        <v>589</v>
      </c>
      <c r="K2" s="6">
        <v>100</v>
      </c>
      <c r="L2" s="6">
        <v>451</v>
      </c>
      <c r="M2" s="6">
        <v>0</v>
      </c>
      <c r="N2" s="6">
        <v>175</v>
      </c>
      <c r="O2" s="6">
        <v>132</v>
      </c>
      <c r="P2" s="6">
        <v>346</v>
      </c>
      <c r="Q2" s="6">
        <v>0</v>
      </c>
      <c r="R2" s="6">
        <v>3051</v>
      </c>
      <c r="S2" s="6">
        <v>100</v>
      </c>
      <c r="T2" s="6">
        <v>73</v>
      </c>
      <c r="U2" s="6">
        <v>73</v>
      </c>
      <c r="V2" s="6">
        <v>40</v>
      </c>
      <c r="W2" s="6">
        <v>103</v>
      </c>
      <c r="X2" s="6">
        <v>105</v>
      </c>
      <c r="Y2" s="6">
        <v>3545</v>
      </c>
      <c r="Z2" s="6">
        <v>6341</v>
      </c>
      <c r="AA2" s="6">
        <v>500</v>
      </c>
      <c r="AB2" s="6">
        <v>210</v>
      </c>
      <c r="AC2" s="6">
        <v>80.300000000000011</v>
      </c>
      <c r="AD2" s="6">
        <v>0.15</v>
      </c>
      <c r="AE2" s="6">
        <v>6073.65</v>
      </c>
      <c r="AF2" s="6">
        <v>93.733000000000004</v>
      </c>
      <c r="AG2" s="6">
        <v>5815.4769499999993</v>
      </c>
      <c r="AH2" s="6">
        <v>0.41633120117227701</v>
      </c>
      <c r="AI2" s="6">
        <v>0.42790590890399788</v>
      </c>
    </row>
    <row r="3" spans="1:35" x14ac:dyDescent="0.2">
      <c r="A3" t="s">
        <v>5</v>
      </c>
      <c r="B3" t="s">
        <v>111</v>
      </c>
      <c r="C3" s="6">
        <v>1200</v>
      </c>
      <c r="D3" s="6"/>
      <c r="E3" s="6">
        <v>62</v>
      </c>
      <c r="F3" s="6">
        <v>73</v>
      </c>
      <c r="G3" s="6">
        <v>0</v>
      </c>
      <c r="H3" s="6">
        <v>279</v>
      </c>
      <c r="I3" s="6">
        <v>0</v>
      </c>
      <c r="J3" s="6">
        <v>507</v>
      </c>
      <c r="K3" s="6">
        <v>50</v>
      </c>
      <c r="L3" s="6">
        <v>451</v>
      </c>
      <c r="M3" s="6">
        <v>0</v>
      </c>
      <c r="N3" s="6">
        <v>131</v>
      </c>
      <c r="O3" s="6">
        <v>141</v>
      </c>
      <c r="P3" s="6">
        <v>283</v>
      </c>
      <c r="Q3" s="6">
        <v>0</v>
      </c>
      <c r="R3" s="6">
        <v>3177</v>
      </c>
      <c r="S3" s="6">
        <v>100</v>
      </c>
      <c r="T3" s="6">
        <v>73</v>
      </c>
      <c r="U3" s="6">
        <v>73</v>
      </c>
      <c r="V3" s="6">
        <v>40</v>
      </c>
      <c r="W3" s="6">
        <v>103</v>
      </c>
      <c r="X3" s="6">
        <v>105</v>
      </c>
      <c r="Y3" s="6">
        <v>3671</v>
      </c>
      <c r="Z3" s="6">
        <v>6341</v>
      </c>
      <c r="AA3" s="6">
        <v>500</v>
      </c>
      <c r="AB3" s="6">
        <v>210</v>
      </c>
      <c r="AC3" s="6">
        <v>80.300000000000011</v>
      </c>
      <c r="AD3" s="6">
        <v>0.15</v>
      </c>
      <c r="AE3" s="6">
        <v>6073.65</v>
      </c>
      <c r="AF3" s="6">
        <v>93.733000000000004</v>
      </c>
      <c r="AG3" s="6">
        <v>5815.4769499999993</v>
      </c>
      <c r="AH3" s="6">
        <v>0.39558585035357652</v>
      </c>
      <c r="AI3" s="6">
        <v>0.40623958624752182</v>
      </c>
    </row>
    <row r="4" spans="1:35" x14ac:dyDescent="0.2">
      <c r="A4" t="s">
        <v>5</v>
      </c>
      <c r="B4" t="s">
        <v>112</v>
      </c>
      <c r="C4" s="6">
        <v>1400</v>
      </c>
      <c r="D4" s="6"/>
      <c r="E4" s="6">
        <v>62</v>
      </c>
      <c r="F4" s="6">
        <v>73</v>
      </c>
      <c r="G4" s="6">
        <v>0</v>
      </c>
      <c r="H4" s="6">
        <v>49</v>
      </c>
      <c r="I4" s="6">
        <v>0</v>
      </c>
      <c r="J4" s="6">
        <v>463</v>
      </c>
      <c r="K4" s="6">
        <v>50</v>
      </c>
      <c r="L4" s="6">
        <v>451</v>
      </c>
      <c r="M4" s="6">
        <v>0</v>
      </c>
      <c r="N4" s="6">
        <v>131</v>
      </c>
      <c r="O4" s="6">
        <v>141</v>
      </c>
      <c r="P4" s="6">
        <v>283</v>
      </c>
      <c r="Q4" s="6">
        <v>0</v>
      </c>
      <c r="R4" s="6">
        <v>3103</v>
      </c>
      <c r="S4" s="6">
        <v>100</v>
      </c>
      <c r="T4" s="6">
        <v>73</v>
      </c>
      <c r="U4" s="6">
        <v>73</v>
      </c>
      <c r="V4" s="6">
        <v>40</v>
      </c>
      <c r="W4" s="6">
        <v>103</v>
      </c>
      <c r="X4" s="6">
        <v>105</v>
      </c>
      <c r="Y4" s="6">
        <v>3597</v>
      </c>
      <c r="Z4" s="6">
        <v>6341</v>
      </c>
      <c r="AA4" s="6">
        <v>500</v>
      </c>
      <c r="AB4" s="6">
        <v>210</v>
      </c>
      <c r="AC4" s="6">
        <v>80.300000000000011</v>
      </c>
      <c r="AD4" s="6">
        <v>0.15</v>
      </c>
      <c r="AE4" s="6">
        <v>6073.65</v>
      </c>
      <c r="AF4" s="6">
        <v>93.733000000000004</v>
      </c>
      <c r="AG4" s="6">
        <v>5815.4769499999993</v>
      </c>
      <c r="AH4" s="6">
        <v>0.40776962781852749</v>
      </c>
      <c r="AI4" s="6">
        <v>0.41896425193465858</v>
      </c>
    </row>
    <row r="5" spans="1:35" x14ac:dyDescent="0.2">
      <c r="A5" t="s">
        <v>5</v>
      </c>
      <c r="B5" t="s">
        <v>113</v>
      </c>
      <c r="C5" s="6">
        <v>1200</v>
      </c>
      <c r="D5" s="6"/>
      <c r="E5" s="6">
        <v>62</v>
      </c>
      <c r="F5" s="6">
        <v>73</v>
      </c>
      <c r="G5" s="6">
        <v>0</v>
      </c>
      <c r="H5" s="6">
        <v>588</v>
      </c>
      <c r="I5" s="6">
        <v>0</v>
      </c>
      <c r="J5" s="6">
        <v>418</v>
      </c>
      <c r="K5" s="6">
        <v>100</v>
      </c>
      <c r="L5" s="6">
        <v>451</v>
      </c>
      <c r="M5" s="6">
        <v>0</v>
      </c>
      <c r="N5" s="6">
        <v>175</v>
      </c>
      <c r="O5" s="6">
        <v>132</v>
      </c>
      <c r="P5" s="6">
        <v>346</v>
      </c>
      <c r="Q5" s="6">
        <v>0</v>
      </c>
      <c r="R5" s="6">
        <v>3545</v>
      </c>
      <c r="S5" s="6">
        <v>100</v>
      </c>
      <c r="T5" s="6">
        <v>73</v>
      </c>
      <c r="U5" s="6">
        <v>73</v>
      </c>
      <c r="V5" s="6">
        <v>40</v>
      </c>
      <c r="W5" s="6">
        <v>103</v>
      </c>
      <c r="X5" s="6">
        <v>105</v>
      </c>
      <c r="Y5" s="6">
        <v>4039</v>
      </c>
      <c r="Z5" s="6">
        <v>6341</v>
      </c>
      <c r="AA5" s="6">
        <v>500</v>
      </c>
      <c r="AB5" s="6">
        <v>210</v>
      </c>
      <c r="AC5" s="6">
        <v>80.300000000000011</v>
      </c>
      <c r="AD5" s="6">
        <v>0.15</v>
      </c>
      <c r="AE5" s="6">
        <v>6073.65</v>
      </c>
      <c r="AF5" s="6">
        <v>93.733000000000004</v>
      </c>
      <c r="AG5" s="6">
        <v>5815.4769499999993</v>
      </c>
      <c r="AH5" s="6">
        <v>0.33499625431165769</v>
      </c>
      <c r="AI5" s="6">
        <v>0.34296016769527382</v>
      </c>
    </row>
    <row r="6" spans="1:35" x14ac:dyDescent="0.2">
      <c r="A6" t="s">
        <v>5</v>
      </c>
      <c r="B6" t="s">
        <v>114</v>
      </c>
      <c r="C6" s="6">
        <v>300</v>
      </c>
      <c r="D6" s="6"/>
      <c r="E6" s="6">
        <v>62</v>
      </c>
      <c r="F6" s="6">
        <v>73</v>
      </c>
      <c r="G6" s="6">
        <v>0</v>
      </c>
      <c r="H6" s="6">
        <v>845</v>
      </c>
      <c r="I6" s="6">
        <v>0</v>
      </c>
      <c r="J6" s="6">
        <v>576</v>
      </c>
      <c r="K6" s="6">
        <v>100</v>
      </c>
      <c r="L6" s="6">
        <v>451</v>
      </c>
      <c r="M6" s="6">
        <v>0</v>
      </c>
      <c r="N6" s="6">
        <v>175</v>
      </c>
      <c r="O6" s="6">
        <v>132</v>
      </c>
      <c r="P6" s="6">
        <v>346</v>
      </c>
      <c r="Q6" s="6">
        <v>0</v>
      </c>
      <c r="R6" s="6">
        <v>3060</v>
      </c>
      <c r="S6" s="6">
        <v>100</v>
      </c>
      <c r="T6" s="6">
        <v>73</v>
      </c>
      <c r="U6" s="6">
        <v>73</v>
      </c>
      <c r="V6" s="6">
        <v>40</v>
      </c>
      <c r="W6" s="6">
        <v>103</v>
      </c>
      <c r="X6" s="6">
        <v>105</v>
      </c>
      <c r="Y6" s="6">
        <v>3554</v>
      </c>
      <c r="Z6" s="6">
        <v>6341</v>
      </c>
      <c r="AA6" s="6">
        <v>500</v>
      </c>
      <c r="AB6" s="6">
        <v>210</v>
      </c>
      <c r="AC6" s="6">
        <v>80.300000000000011</v>
      </c>
      <c r="AD6" s="6">
        <v>0.15</v>
      </c>
      <c r="AE6" s="6">
        <v>6073.65</v>
      </c>
      <c r="AF6" s="6">
        <v>93.733000000000004</v>
      </c>
      <c r="AG6" s="6">
        <v>5815.4769499999993</v>
      </c>
      <c r="AH6" s="6">
        <v>0.41484939039951257</v>
      </c>
      <c r="AI6" s="6">
        <v>0.42635831442853528</v>
      </c>
    </row>
    <row r="7" spans="1:35" x14ac:dyDescent="0.2">
      <c r="A7" t="s">
        <v>6</v>
      </c>
      <c r="B7" t="s">
        <v>113</v>
      </c>
      <c r="C7" s="6">
        <v>1200</v>
      </c>
      <c r="D7" s="6"/>
      <c r="E7" s="6">
        <v>62</v>
      </c>
      <c r="F7" s="6">
        <v>73</v>
      </c>
      <c r="G7" s="6">
        <v>0</v>
      </c>
      <c r="H7" s="6">
        <v>49</v>
      </c>
      <c r="I7" s="6">
        <v>0</v>
      </c>
      <c r="J7" s="6">
        <v>581</v>
      </c>
      <c r="K7" s="6">
        <v>50</v>
      </c>
      <c r="L7" s="6">
        <v>419</v>
      </c>
      <c r="M7" s="6">
        <v>492</v>
      </c>
      <c r="N7" s="6">
        <v>138</v>
      </c>
      <c r="O7" s="6">
        <v>110</v>
      </c>
      <c r="P7" s="6">
        <v>288</v>
      </c>
      <c r="Q7" s="6">
        <v>0</v>
      </c>
      <c r="R7" s="6">
        <v>3462</v>
      </c>
      <c r="S7" s="6">
        <v>207</v>
      </c>
      <c r="T7" s="6">
        <v>73</v>
      </c>
      <c r="U7" s="6">
        <v>73</v>
      </c>
      <c r="V7" s="6">
        <v>40</v>
      </c>
      <c r="W7" s="6">
        <v>128</v>
      </c>
      <c r="X7" s="6">
        <v>105</v>
      </c>
      <c r="Y7" s="6">
        <v>4088</v>
      </c>
      <c r="Z7" s="6">
        <v>7150</v>
      </c>
      <c r="AA7" s="6">
        <v>704</v>
      </c>
      <c r="AB7" s="6">
        <v>210</v>
      </c>
      <c r="AC7" s="6">
        <v>80.300000000000011</v>
      </c>
      <c r="AD7" s="6">
        <v>0.15</v>
      </c>
      <c r="AE7" s="6">
        <v>6934.7</v>
      </c>
      <c r="AF7" s="6">
        <v>93.733000000000004</v>
      </c>
      <c r="AG7" s="6">
        <v>6676.5269499999986</v>
      </c>
      <c r="AH7" s="6">
        <v>0.41050081474324768</v>
      </c>
      <c r="AI7" s="6">
        <v>0.42035731616420707</v>
      </c>
    </row>
    <row r="8" spans="1:35" x14ac:dyDescent="0.2">
      <c r="A8" t="s">
        <v>6</v>
      </c>
      <c r="B8" t="s">
        <v>114</v>
      </c>
      <c r="C8" s="6">
        <v>300</v>
      </c>
      <c r="D8" s="6"/>
      <c r="E8" s="6">
        <v>62</v>
      </c>
      <c r="F8" s="6">
        <v>73</v>
      </c>
      <c r="G8" s="6">
        <v>0</v>
      </c>
      <c r="H8" s="6">
        <v>946</v>
      </c>
      <c r="I8" s="6">
        <v>0</v>
      </c>
      <c r="J8" s="6">
        <v>721</v>
      </c>
      <c r="K8" s="6">
        <v>100</v>
      </c>
      <c r="L8" s="6">
        <v>419</v>
      </c>
      <c r="M8" s="6">
        <v>492</v>
      </c>
      <c r="N8" s="6">
        <v>175</v>
      </c>
      <c r="O8" s="6">
        <v>132</v>
      </c>
      <c r="P8" s="6">
        <v>346</v>
      </c>
      <c r="Q8" s="6">
        <v>0</v>
      </c>
      <c r="R8" s="6">
        <v>3766</v>
      </c>
      <c r="S8" s="6">
        <v>207</v>
      </c>
      <c r="T8" s="6">
        <v>73</v>
      </c>
      <c r="U8" s="6">
        <v>73</v>
      </c>
      <c r="V8" s="6">
        <v>40</v>
      </c>
      <c r="W8" s="6">
        <v>128</v>
      </c>
      <c r="X8" s="6">
        <v>105</v>
      </c>
      <c r="Y8" s="6">
        <v>4392</v>
      </c>
      <c r="Z8" s="6">
        <v>7150</v>
      </c>
      <c r="AA8" s="6">
        <v>704</v>
      </c>
      <c r="AB8" s="6">
        <v>210</v>
      </c>
      <c r="AC8" s="6">
        <v>80.300000000000011</v>
      </c>
      <c r="AD8" s="6">
        <v>0.15</v>
      </c>
      <c r="AE8" s="6">
        <v>6934.7</v>
      </c>
      <c r="AF8" s="6">
        <v>93.733000000000004</v>
      </c>
      <c r="AG8" s="6">
        <v>6676.5269499999986</v>
      </c>
      <c r="AH8" s="6">
        <v>0.36666330194528962</v>
      </c>
      <c r="AI8" s="6">
        <v>0.37482466089648592</v>
      </c>
    </row>
    <row r="9" spans="1:35" x14ac:dyDescent="0.2">
      <c r="A9" t="s">
        <v>7</v>
      </c>
      <c r="B9" t="s">
        <v>115</v>
      </c>
      <c r="C9" s="6">
        <v>725</v>
      </c>
      <c r="D9" s="6"/>
      <c r="E9" s="6">
        <v>82</v>
      </c>
      <c r="F9" s="6">
        <v>73</v>
      </c>
      <c r="G9" s="6"/>
      <c r="H9" s="6">
        <v>1381.3949073000001</v>
      </c>
      <c r="I9" s="6">
        <v>131.67352514563109</v>
      </c>
      <c r="J9" s="6">
        <v>465.35068490000032</v>
      </c>
      <c r="K9" s="6"/>
      <c r="L9" s="6">
        <v>409.29906000000011</v>
      </c>
      <c r="M9" s="6">
        <v>0</v>
      </c>
      <c r="N9" s="6">
        <v>52.153469999999992</v>
      </c>
      <c r="O9" s="6">
        <v>41.177808000000013</v>
      </c>
      <c r="P9" s="6">
        <v>188.71876800000001</v>
      </c>
      <c r="Q9" s="6"/>
      <c r="R9" s="6">
        <v>3549.768223345633</v>
      </c>
      <c r="S9" s="6">
        <v>61</v>
      </c>
      <c r="T9" s="6">
        <v>73</v>
      </c>
      <c r="U9" s="6">
        <v>202</v>
      </c>
      <c r="V9" s="6">
        <v>60</v>
      </c>
      <c r="W9" s="6">
        <v>101</v>
      </c>
      <c r="X9" s="6">
        <v>105</v>
      </c>
      <c r="Y9" s="6">
        <v>4151.7682233456326</v>
      </c>
      <c r="Z9" s="6">
        <v>9350</v>
      </c>
      <c r="AA9" s="6">
        <v>463</v>
      </c>
      <c r="AB9" s="6">
        <v>210</v>
      </c>
      <c r="AC9" s="6">
        <v>80.300000000000011</v>
      </c>
      <c r="AD9" s="6">
        <v>0.15</v>
      </c>
      <c r="AE9" s="6">
        <v>8599.8499999999985</v>
      </c>
      <c r="AF9" s="6">
        <v>93.733000000000004</v>
      </c>
      <c r="AG9" s="6">
        <v>8341.6769499999991</v>
      </c>
      <c r="AH9" s="6">
        <v>0.51722783265456573</v>
      </c>
      <c r="AI9" s="6">
        <v>0.54628209099542835</v>
      </c>
    </row>
    <row r="10" spans="1:35" x14ac:dyDescent="0.2">
      <c r="A10" t="s">
        <v>8</v>
      </c>
      <c r="B10" t="s">
        <v>115</v>
      </c>
      <c r="C10" s="6">
        <v>725</v>
      </c>
      <c r="D10" s="6"/>
      <c r="E10" s="6">
        <v>82</v>
      </c>
      <c r="F10" s="6">
        <v>73</v>
      </c>
      <c r="G10" s="6"/>
      <c r="H10" s="6">
        <v>1859.4969440499999</v>
      </c>
      <c r="I10" s="6">
        <v>145.2285955145631</v>
      </c>
      <c r="J10" s="6">
        <v>509.07769580000019</v>
      </c>
      <c r="K10" s="6"/>
      <c r="L10" s="6">
        <v>939.34435000000019</v>
      </c>
      <c r="M10" s="6">
        <v>513.68696999999997</v>
      </c>
      <c r="N10" s="6">
        <v>62.476829999999993</v>
      </c>
      <c r="O10" s="6">
        <v>47.637072000000018</v>
      </c>
      <c r="P10" s="6">
        <v>218.32171199999999</v>
      </c>
      <c r="Q10" s="6"/>
      <c r="R10" s="6">
        <v>5175.2701693645631</v>
      </c>
      <c r="S10" s="6">
        <v>216</v>
      </c>
      <c r="T10" s="6">
        <v>73</v>
      </c>
      <c r="U10" s="6">
        <v>202</v>
      </c>
      <c r="V10" s="6">
        <v>60</v>
      </c>
      <c r="W10" s="6">
        <v>126</v>
      </c>
      <c r="X10" s="6">
        <v>105</v>
      </c>
      <c r="Y10" s="6">
        <v>5957.2701693645631</v>
      </c>
      <c r="Z10" s="6">
        <v>11350</v>
      </c>
      <c r="AA10" s="6">
        <v>1682</v>
      </c>
      <c r="AB10" s="6">
        <v>210</v>
      </c>
      <c r="AC10" s="6">
        <v>75</v>
      </c>
      <c r="AD10" s="6">
        <v>0.15</v>
      </c>
      <c r="AE10" s="6">
        <v>11330.7</v>
      </c>
      <c r="AF10" s="6">
        <v>160.47</v>
      </c>
      <c r="AG10" s="6">
        <v>11015.800499999999</v>
      </c>
      <c r="AH10" s="6">
        <v>0.47423635173779521</v>
      </c>
      <c r="AI10" s="6">
        <v>0.4925225661662479</v>
      </c>
    </row>
    <row r="11" spans="1:35" x14ac:dyDescent="0.2">
      <c r="A11" t="s">
        <v>59</v>
      </c>
      <c r="B11" t="s">
        <v>116</v>
      </c>
      <c r="C11" s="6">
        <v>1000</v>
      </c>
      <c r="D11" s="6"/>
      <c r="E11" s="6">
        <v>82</v>
      </c>
      <c r="F11" s="6">
        <v>73</v>
      </c>
      <c r="G11" s="6"/>
      <c r="H11" s="6">
        <v>2148.2634215500002</v>
      </c>
      <c r="I11" s="6">
        <v>150.64292662135921</v>
      </c>
      <c r="J11" s="6">
        <v>496.51910139999978</v>
      </c>
      <c r="K11" s="6"/>
      <c r="L11" s="6">
        <v>908.20707999999979</v>
      </c>
      <c r="M11" s="6">
        <v>219.51379900000001</v>
      </c>
      <c r="N11" s="6">
        <v>68.916869999999989</v>
      </c>
      <c r="O11" s="6">
        <v>55.307448000000008</v>
      </c>
      <c r="P11" s="6">
        <v>253.4752079999999</v>
      </c>
      <c r="Q11" s="6"/>
      <c r="R11" s="6">
        <v>5455.8458545713584</v>
      </c>
      <c r="S11" s="6">
        <v>216</v>
      </c>
      <c r="T11" s="6">
        <v>73</v>
      </c>
      <c r="U11" s="6">
        <v>202</v>
      </c>
      <c r="V11" s="6">
        <v>60</v>
      </c>
      <c r="W11" s="6">
        <v>126</v>
      </c>
      <c r="X11" s="6">
        <v>105</v>
      </c>
      <c r="Y11" s="6">
        <v>6237.8458545713584</v>
      </c>
      <c r="Z11" s="6">
        <v>13589</v>
      </c>
      <c r="AA11" s="6">
        <v>1682</v>
      </c>
      <c r="AB11" s="6">
        <v>210</v>
      </c>
      <c r="AC11" s="6">
        <v>80.300000000000011</v>
      </c>
      <c r="AD11" s="6">
        <v>0.15</v>
      </c>
      <c r="AE11" s="6">
        <v>13239.15</v>
      </c>
      <c r="AF11" s="6">
        <v>160.47</v>
      </c>
      <c r="AG11" s="6">
        <v>12924.2505</v>
      </c>
      <c r="AH11" s="6">
        <v>0.52883335753644622</v>
      </c>
      <c r="AI11" s="6">
        <v>0.545749608105216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"/>
  <sheetViews>
    <sheetView workbookViewId="0">
      <selection activeCell="B8" sqref="B8"/>
    </sheetView>
  </sheetViews>
  <sheetFormatPr baseColWidth="10" defaultColWidth="11" defaultRowHeight="16" x14ac:dyDescent="0.2"/>
  <cols>
    <col min="1" max="1" width="29" bestFit="1" customWidth="1"/>
  </cols>
  <sheetData>
    <row r="1" spans="1:15" x14ac:dyDescent="0.2">
      <c r="A1" t="s">
        <v>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</row>
    <row r="2" spans="1:15" x14ac:dyDescent="0.2">
      <c r="A2" t="s">
        <v>11</v>
      </c>
      <c r="B2" s="6">
        <v>131000</v>
      </c>
      <c r="C2" s="6">
        <v>187000</v>
      </c>
      <c r="D2" s="6">
        <v>35.700000000000003</v>
      </c>
      <c r="E2" s="6">
        <v>241</v>
      </c>
      <c r="F2" s="6"/>
      <c r="G2" s="6">
        <v>8603.7000000000007</v>
      </c>
      <c r="H2" s="6">
        <v>36000</v>
      </c>
      <c r="I2" s="6"/>
      <c r="J2" s="6">
        <v>44603.7</v>
      </c>
      <c r="K2" s="6">
        <v>96</v>
      </c>
      <c r="L2" s="6">
        <v>8</v>
      </c>
      <c r="M2" s="6">
        <v>0.88319999999999999</v>
      </c>
      <c r="N2" s="6">
        <v>39393.987839999987</v>
      </c>
      <c r="O2" s="6">
        <v>147606.01216000001</v>
      </c>
    </row>
    <row r="3" spans="1:15" x14ac:dyDescent="0.2">
      <c r="A3" t="s">
        <v>117</v>
      </c>
      <c r="B3" s="6"/>
      <c r="C3" s="6">
        <v>141000</v>
      </c>
      <c r="D3" s="6">
        <v>20.75</v>
      </c>
      <c r="E3" s="6">
        <v>241</v>
      </c>
      <c r="F3" s="6"/>
      <c r="G3" s="6">
        <v>5000.75</v>
      </c>
      <c r="H3" s="6">
        <v>32000</v>
      </c>
      <c r="I3" s="6"/>
      <c r="J3" s="6">
        <v>37000.75</v>
      </c>
      <c r="K3" s="6">
        <v>96</v>
      </c>
      <c r="L3" s="6">
        <v>8</v>
      </c>
      <c r="M3" s="6">
        <v>0.88319999999999999</v>
      </c>
      <c r="N3" s="6">
        <v>32679.062399999999</v>
      </c>
      <c r="O3" s="6">
        <v>108320.9376</v>
      </c>
    </row>
    <row r="4" spans="1:15" x14ac:dyDescent="0.2">
      <c r="A4" t="s">
        <v>13</v>
      </c>
      <c r="B4" s="6"/>
      <c r="C4" s="6">
        <v>22000</v>
      </c>
      <c r="D4" s="6">
        <v>4.2</v>
      </c>
      <c r="E4" s="6">
        <v>241</v>
      </c>
      <c r="F4" s="6"/>
      <c r="G4" s="6">
        <v>1012.2</v>
      </c>
      <c r="H4" s="6">
        <v>5000</v>
      </c>
      <c r="I4" s="6"/>
      <c r="J4" s="6">
        <v>6012.2</v>
      </c>
      <c r="K4" s="6">
        <v>96</v>
      </c>
      <c r="L4" s="6">
        <v>8</v>
      </c>
      <c r="M4" s="6">
        <v>0.88319999999999999</v>
      </c>
      <c r="N4" s="6">
        <v>5309.9750399999994</v>
      </c>
      <c r="O4" s="6">
        <v>16690.024959999999</v>
      </c>
    </row>
    <row r="5" spans="1:15" x14ac:dyDescent="0.2">
      <c r="A5" t="s">
        <v>14</v>
      </c>
      <c r="B5" s="6"/>
      <c r="C5" s="6">
        <v>82000</v>
      </c>
      <c r="D5" s="6">
        <v>16.600000000000001</v>
      </c>
      <c r="E5" s="6">
        <v>241</v>
      </c>
      <c r="F5" s="6"/>
      <c r="G5" s="6">
        <v>4000.6</v>
      </c>
      <c r="H5" s="6">
        <v>8000</v>
      </c>
      <c r="I5" s="6"/>
      <c r="J5" s="6">
        <v>12000.6</v>
      </c>
      <c r="K5" s="6">
        <v>96</v>
      </c>
      <c r="L5" s="6">
        <v>8</v>
      </c>
      <c r="M5" s="6">
        <v>0.88319999999999999</v>
      </c>
      <c r="N5" s="6">
        <v>10598.92992</v>
      </c>
      <c r="O5" s="6">
        <v>71401.070080000005</v>
      </c>
    </row>
    <row r="6" spans="1:15" x14ac:dyDescent="0.2">
      <c r="A6" t="s">
        <v>15</v>
      </c>
      <c r="B6" s="6"/>
      <c r="C6" s="6">
        <v>346000</v>
      </c>
      <c r="D6" s="6"/>
      <c r="E6" s="6"/>
      <c r="F6" s="6"/>
      <c r="G6" s="6"/>
      <c r="H6" s="6">
        <v>130000</v>
      </c>
      <c r="I6" s="6">
        <v>17300</v>
      </c>
      <c r="J6" s="6">
        <v>147300</v>
      </c>
      <c r="K6" s="6">
        <v>96</v>
      </c>
      <c r="L6" s="6">
        <v>8</v>
      </c>
      <c r="M6" s="6">
        <v>0.88319999999999999</v>
      </c>
      <c r="N6" s="6">
        <v>130095.36</v>
      </c>
      <c r="O6" s="6">
        <v>215904.64000000001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8"/>
  <sheetViews>
    <sheetView workbookViewId="0">
      <selection activeCell="A2" sqref="A2"/>
    </sheetView>
  </sheetViews>
  <sheetFormatPr baseColWidth="10" defaultColWidth="11" defaultRowHeight="16" x14ac:dyDescent="0.2"/>
  <cols>
    <col min="1" max="1" width="14.1640625" bestFit="1" customWidth="1"/>
  </cols>
  <sheetData>
    <row r="1" spans="1:15" x14ac:dyDescent="0.2">
      <c r="A1" t="s">
        <v>74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</row>
    <row r="2" spans="1:15" x14ac:dyDescent="0.2">
      <c r="A2" t="s">
        <v>16</v>
      </c>
      <c r="C2">
        <v>14000</v>
      </c>
      <c r="F2">
        <v>9100</v>
      </c>
      <c r="G2">
        <v>4900</v>
      </c>
      <c r="H2">
        <v>0</v>
      </c>
      <c r="I2">
        <v>0</v>
      </c>
      <c r="J2">
        <v>4900</v>
      </c>
      <c r="K2">
        <v>90</v>
      </c>
      <c r="L2">
        <v>10</v>
      </c>
      <c r="M2">
        <v>0.81</v>
      </c>
      <c r="N2">
        <v>5296.9</v>
      </c>
      <c r="O2">
        <v>8703.1</v>
      </c>
    </row>
    <row r="3" spans="1:15" x14ac:dyDescent="0.2">
      <c r="A3" t="s">
        <v>18</v>
      </c>
      <c r="C3">
        <v>1200</v>
      </c>
      <c r="F3">
        <v>780</v>
      </c>
      <c r="G3">
        <v>420</v>
      </c>
      <c r="H3">
        <v>0</v>
      </c>
      <c r="I3">
        <v>0</v>
      </c>
      <c r="J3">
        <v>420</v>
      </c>
      <c r="K3">
        <v>90</v>
      </c>
      <c r="L3">
        <v>10</v>
      </c>
      <c r="M3">
        <v>0.81</v>
      </c>
      <c r="N3">
        <v>454.02</v>
      </c>
      <c r="O3">
        <v>745.98</v>
      </c>
    </row>
    <row r="4" spans="1:15" x14ac:dyDescent="0.2">
      <c r="A4" t="s">
        <v>19</v>
      </c>
      <c r="C4">
        <v>22600</v>
      </c>
      <c r="F4">
        <v>14690</v>
      </c>
      <c r="G4">
        <v>7909.9999999999991</v>
      </c>
      <c r="H4">
        <v>0</v>
      </c>
      <c r="I4">
        <v>0</v>
      </c>
      <c r="J4">
        <v>7909.9999999999991</v>
      </c>
      <c r="K4">
        <v>90</v>
      </c>
      <c r="L4">
        <v>10</v>
      </c>
      <c r="M4">
        <v>0.81</v>
      </c>
      <c r="N4">
        <v>8550.7099999999991</v>
      </c>
      <c r="O4">
        <v>14049.29</v>
      </c>
    </row>
    <row r="5" spans="1:15" x14ac:dyDescent="0.2">
      <c r="A5" t="s">
        <v>20</v>
      </c>
      <c r="C5">
        <v>7000</v>
      </c>
      <c r="F5">
        <v>4550</v>
      </c>
      <c r="G5">
        <v>2450</v>
      </c>
      <c r="H5">
        <v>0</v>
      </c>
      <c r="I5">
        <v>0</v>
      </c>
      <c r="J5">
        <v>2450</v>
      </c>
      <c r="K5">
        <v>90</v>
      </c>
      <c r="L5">
        <v>10</v>
      </c>
      <c r="M5">
        <v>0.81</v>
      </c>
      <c r="N5">
        <v>2648.45</v>
      </c>
      <c r="O5">
        <v>4351.55</v>
      </c>
    </row>
    <row r="6" spans="1:15" x14ac:dyDescent="0.2">
      <c r="A6" t="s">
        <v>21</v>
      </c>
      <c r="C6">
        <v>66500</v>
      </c>
      <c r="F6">
        <v>43225</v>
      </c>
      <c r="G6">
        <v>23275</v>
      </c>
      <c r="H6">
        <v>0</v>
      </c>
      <c r="I6">
        <v>0</v>
      </c>
      <c r="J6">
        <v>23275</v>
      </c>
      <c r="K6">
        <v>90</v>
      </c>
      <c r="L6">
        <v>10</v>
      </c>
      <c r="M6">
        <v>0.81</v>
      </c>
      <c r="N6">
        <v>25160.275000000001</v>
      </c>
      <c r="O6">
        <v>41339.724999999999</v>
      </c>
    </row>
    <row r="7" spans="1:15" x14ac:dyDescent="0.2">
      <c r="A7" t="s">
        <v>22</v>
      </c>
      <c r="C7">
        <v>60100</v>
      </c>
      <c r="F7">
        <v>39065</v>
      </c>
      <c r="G7">
        <v>21035</v>
      </c>
      <c r="H7">
        <v>0</v>
      </c>
      <c r="I7">
        <v>0</v>
      </c>
      <c r="J7">
        <v>21035</v>
      </c>
      <c r="K7">
        <v>90</v>
      </c>
      <c r="L7">
        <v>10</v>
      </c>
      <c r="M7">
        <v>0.81</v>
      </c>
      <c r="N7">
        <v>22738.834999999999</v>
      </c>
      <c r="O7">
        <v>37361.165000000001</v>
      </c>
    </row>
    <row r="8" spans="1:15" x14ac:dyDescent="0.2">
      <c r="A8" t="s">
        <v>75</v>
      </c>
      <c r="C8">
        <v>6300</v>
      </c>
      <c r="F8">
        <v>4095</v>
      </c>
      <c r="G8">
        <v>2205</v>
      </c>
      <c r="H8">
        <v>0</v>
      </c>
      <c r="I8">
        <v>0</v>
      </c>
      <c r="J8">
        <v>2205</v>
      </c>
      <c r="K8">
        <v>90</v>
      </c>
      <c r="L8">
        <v>10</v>
      </c>
      <c r="M8">
        <v>0.81</v>
      </c>
      <c r="N8">
        <v>2383.605</v>
      </c>
      <c r="O8">
        <v>3916.395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9B4C-35E2-C44B-9AB9-E7C36E9CB0C0}">
  <dimension ref="A1:F8"/>
  <sheetViews>
    <sheetView workbookViewId="0">
      <selection activeCell="B10" sqref="B10"/>
    </sheetView>
  </sheetViews>
  <sheetFormatPr baseColWidth="10" defaultColWidth="11" defaultRowHeight="16" x14ac:dyDescent="0.2"/>
  <cols>
    <col min="1" max="1" width="21.33203125" customWidth="1"/>
  </cols>
  <sheetData>
    <row r="1" spans="1:6" x14ac:dyDescent="0.2">
      <c r="A1" s="1" t="s">
        <v>109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59</v>
      </c>
    </row>
    <row r="2" spans="1:6" x14ac:dyDescent="0.2">
      <c r="A2" s="8" t="s">
        <v>110</v>
      </c>
      <c r="B2" s="1">
        <v>2620.4700000000003</v>
      </c>
      <c r="C2" s="1"/>
      <c r="D2" s="8"/>
      <c r="E2" s="8"/>
      <c r="F2" s="8"/>
    </row>
    <row r="3" spans="1:6" x14ac:dyDescent="0.2">
      <c r="A3" s="8" t="s">
        <v>111</v>
      </c>
      <c r="B3" s="1">
        <v>3344.4769499999993</v>
      </c>
      <c r="C3" s="1"/>
      <c r="D3" s="8"/>
      <c r="E3" s="8"/>
      <c r="F3" s="8"/>
    </row>
    <row r="4" spans="1:6" x14ac:dyDescent="0.2">
      <c r="A4" s="8" t="s">
        <v>112</v>
      </c>
      <c r="B4" s="8">
        <v>3618.4769499999993</v>
      </c>
      <c r="C4" s="8"/>
      <c r="D4" s="8"/>
      <c r="E4" s="8"/>
      <c r="F4" s="8"/>
    </row>
    <row r="5" spans="1:6" x14ac:dyDescent="0.2">
      <c r="A5" s="8" t="s">
        <v>113</v>
      </c>
      <c r="B5" s="8">
        <v>2976.4769499999993</v>
      </c>
      <c r="C5" s="8">
        <v>3788.5269499999986</v>
      </c>
      <c r="D5" s="8"/>
      <c r="E5" s="8"/>
      <c r="F5" s="8"/>
    </row>
    <row r="6" spans="1:6" x14ac:dyDescent="0.2">
      <c r="A6" s="8" t="s">
        <v>114</v>
      </c>
      <c r="B6" s="8">
        <v>2561.4769499999993</v>
      </c>
      <c r="C6" s="8">
        <v>2584.5269499999986</v>
      </c>
      <c r="D6" s="8"/>
      <c r="E6" s="8"/>
      <c r="F6" s="8"/>
    </row>
    <row r="7" spans="1:6" x14ac:dyDescent="0.2">
      <c r="A7" s="8" t="s">
        <v>115</v>
      </c>
      <c r="B7" s="8"/>
      <c r="C7" s="8"/>
      <c r="D7" s="8">
        <v>4914.9087266543665</v>
      </c>
      <c r="E7" s="8">
        <v>5783.5303306354363</v>
      </c>
      <c r="F7" s="8"/>
    </row>
    <row r="8" spans="1:6" x14ac:dyDescent="0.2">
      <c r="A8" s="8" t="s">
        <v>116</v>
      </c>
      <c r="B8" s="8"/>
      <c r="C8" s="8"/>
      <c r="D8" s="8"/>
      <c r="E8" s="8"/>
      <c r="F8" s="8">
        <v>7686.4046454286417</v>
      </c>
    </row>
  </sheetData>
  <conditionalFormatting sqref="B2:F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B8"/>
  <sheetViews>
    <sheetView workbookViewId="0">
      <selection activeCell="B6" sqref="B6"/>
    </sheetView>
  </sheetViews>
  <sheetFormatPr baseColWidth="10" defaultColWidth="11" defaultRowHeight="16" x14ac:dyDescent="0.2"/>
  <cols>
    <col min="1" max="1" width="19.6640625" customWidth="1"/>
  </cols>
  <sheetData>
    <row r="1" spans="1:2" x14ac:dyDescent="0.2">
      <c r="A1" t="s">
        <v>10</v>
      </c>
      <c r="B1" t="s">
        <v>76</v>
      </c>
    </row>
    <row r="2" spans="1:2" x14ac:dyDescent="0.2">
      <c r="A2" t="s">
        <v>110</v>
      </c>
      <c r="B2">
        <v>1</v>
      </c>
    </row>
    <row r="3" spans="1:2" x14ac:dyDescent="0.2">
      <c r="A3" t="s">
        <v>111</v>
      </c>
      <c r="B3">
        <v>0</v>
      </c>
    </row>
    <row r="4" spans="1:2" x14ac:dyDescent="0.2">
      <c r="A4" t="s">
        <v>112</v>
      </c>
      <c r="B4">
        <v>0</v>
      </c>
    </row>
    <row r="5" spans="1:2" x14ac:dyDescent="0.2">
      <c r="A5" t="s">
        <v>113</v>
      </c>
      <c r="B5">
        <v>0</v>
      </c>
    </row>
    <row r="6" spans="1:2" x14ac:dyDescent="0.2">
      <c r="A6" t="s">
        <v>114</v>
      </c>
      <c r="B6">
        <v>1</v>
      </c>
    </row>
    <row r="7" spans="1:2" x14ac:dyDescent="0.2">
      <c r="A7" t="s">
        <v>115</v>
      </c>
      <c r="B7">
        <v>0</v>
      </c>
    </row>
    <row r="8" spans="1:2" x14ac:dyDescent="0.2">
      <c r="A8" t="s">
        <v>116</v>
      </c>
      <c r="B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B185-8425-4F7A-9340-7AA72BCD849E}">
  <dimension ref="A1:D20"/>
  <sheetViews>
    <sheetView workbookViewId="0">
      <selection activeCell="B13" sqref="B13"/>
    </sheetView>
  </sheetViews>
  <sheetFormatPr baseColWidth="10" defaultColWidth="8.83203125" defaultRowHeight="16" x14ac:dyDescent="0.2"/>
  <cols>
    <col min="1" max="1" width="28.33203125" bestFit="1" customWidth="1"/>
  </cols>
  <sheetData>
    <row r="1" spans="1:4" x14ac:dyDescent="0.2">
      <c r="A1" t="s">
        <v>118</v>
      </c>
      <c r="B1" s="9" t="s">
        <v>119</v>
      </c>
      <c r="C1" s="10" t="s">
        <v>120</v>
      </c>
      <c r="D1" s="9" t="s">
        <v>121</v>
      </c>
    </row>
    <row r="2" spans="1:4" x14ac:dyDescent="0.2">
      <c r="A2" t="s">
        <v>122</v>
      </c>
      <c r="B2" s="9" t="s">
        <v>10</v>
      </c>
      <c r="C2" s="9">
        <v>0.01</v>
      </c>
      <c r="D2" s="9">
        <v>100</v>
      </c>
    </row>
    <row r="3" spans="1:4" x14ac:dyDescent="0.2">
      <c r="A3" t="s">
        <v>123</v>
      </c>
      <c r="B3" s="9" t="s">
        <v>10</v>
      </c>
      <c r="C3" s="9">
        <v>0.01</v>
      </c>
      <c r="D3" s="9">
        <v>100</v>
      </c>
    </row>
    <row r="4" spans="1:4" x14ac:dyDescent="0.2">
      <c r="A4" t="s">
        <v>124</v>
      </c>
      <c r="B4" s="9" t="s">
        <v>10</v>
      </c>
      <c r="C4" s="9">
        <v>0.01</v>
      </c>
      <c r="D4" s="9">
        <v>100</v>
      </c>
    </row>
    <row r="5" spans="1:4" x14ac:dyDescent="0.2">
      <c r="A5" t="s">
        <v>125</v>
      </c>
      <c r="B5" s="9" t="s">
        <v>10</v>
      </c>
      <c r="C5" s="9">
        <v>0.01</v>
      </c>
      <c r="D5" s="9">
        <v>100</v>
      </c>
    </row>
    <row r="6" spans="1:4" x14ac:dyDescent="0.2">
      <c r="A6" t="s">
        <v>126</v>
      </c>
      <c r="B6" s="9" t="s">
        <v>10</v>
      </c>
      <c r="C6" s="9">
        <v>0.01</v>
      </c>
      <c r="D6" s="9">
        <v>100</v>
      </c>
    </row>
    <row r="7" spans="1:4" x14ac:dyDescent="0.2">
      <c r="A7" t="s">
        <v>115</v>
      </c>
      <c r="B7" s="9" t="s">
        <v>10</v>
      </c>
      <c r="C7" s="9">
        <v>0.01</v>
      </c>
      <c r="D7" s="9">
        <v>100</v>
      </c>
    </row>
    <row r="8" spans="1:4" x14ac:dyDescent="0.2">
      <c r="A8" t="s">
        <v>116</v>
      </c>
      <c r="B8" s="9" t="s">
        <v>10</v>
      </c>
      <c r="C8" s="9">
        <v>0.01</v>
      </c>
      <c r="D8" s="9">
        <v>100</v>
      </c>
    </row>
    <row r="9" spans="1:4" x14ac:dyDescent="0.2">
      <c r="A9" t="s">
        <v>11</v>
      </c>
      <c r="B9" s="9" t="s">
        <v>9</v>
      </c>
      <c r="C9" s="9">
        <v>0.01</v>
      </c>
      <c r="D9" s="9">
        <v>10</v>
      </c>
    </row>
    <row r="10" spans="1:4" x14ac:dyDescent="0.2">
      <c r="A10" t="s">
        <v>117</v>
      </c>
      <c r="B10" s="9" t="s">
        <v>9</v>
      </c>
      <c r="C10" s="9">
        <v>0.01</v>
      </c>
      <c r="D10" s="9">
        <v>10</v>
      </c>
    </row>
    <row r="11" spans="1:4" x14ac:dyDescent="0.2">
      <c r="A11" t="s">
        <v>13</v>
      </c>
      <c r="B11" s="9" t="s">
        <v>9</v>
      </c>
      <c r="C11" s="9">
        <v>0.01</v>
      </c>
      <c r="D11" s="9">
        <v>10</v>
      </c>
    </row>
    <row r="12" spans="1:4" x14ac:dyDescent="0.2">
      <c r="A12" t="s">
        <v>14</v>
      </c>
      <c r="B12" s="9" t="s">
        <v>9</v>
      </c>
      <c r="C12" s="9">
        <v>0.01</v>
      </c>
      <c r="D12" s="9">
        <v>10</v>
      </c>
    </row>
    <row r="13" spans="1:4" x14ac:dyDescent="0.2">
      <c r="A13" t="s">
        <v>15</v>
      </c>
      <c r="B13" s="9" t="s">
        <v>9</v>
      </c>
      <c r="C13" s="9">
        <v>0.01</v>
      </c>
      <c r="D13" s="9">
        <v>10</v>
      </c>
    </row>
    <row r="14" spans="1:4" x14ac:dyDescent="0.2">
      <c r="A14" t="s">
        <v>16</v>
      </c>
      <c r="B14" s="9" t="s">
        <v>74</v>
      </c>
      <c r="C14" s="9">
        <v>0.01</v>
      </c>
      <c r="D14" s="9">
        <v>1</v>
      </c>
    </row>
    <row r="15" spans="1:4" x14ac:dyDescent="0.2">
      <c r="A15" t="s">
        <v>18</v>
      </c>
      <c r="B15" s="9" t="s">
        <v>74</v>
      </c>
      <c r="C15" s="9">
        <v>0.01</v>
      </c>
      <c r="D15" s="9">
        <v>1</v>
      </c>
    </row>
    <row r="16" spans="1:4" x14ac:dyDescent="0.2">
      <c r="A16" t="s">
        <v>19</v>
      </c>
      <c r="B16" s="9" t="s">
        <v>74</v>
      </c>
      <c r="C16" s="9">
        <v>0.01</v>
      </c>
      <c r="D16" s="9">
        <v>1</v>
      </c>
    </row>
    <row r="17" spans="1:4" x14ac:dyDescent="0.2">
      <c r="A17" t="s">
        <v>20</v>
      </c>
      <c r="B17" s="9" t="s">
        <v>74</v>
      </c>
      <c r="C17" s="9">
        <v>0.01</v>
      </c>
      <c r="D17" s="9">
        <v>1</v>
      </c>
    </row>
    <row r="18" spans="1:4" x14ac:dyDescent="0.2">
      <c r="A18" t="s">
        <v>21</v>
      </c>
      <c r="B18" s="9" t="s">
        <v>74</v>
      </c>
      <c r="C18" s="9">
        <v>0.01</v>
      </c>
      <c r="D18" s="9">
        <v>1</v>
      </c>
    </row>
    <row r="19" spans="1:4" x14ac:dyDescent="0.2">
      <c r="A19" t="s">
        <v>22</v>
      </c>
      <c r="B19" s="9" t="s">
        <v>74</v>
      </c>
      <c r="C19" s="9">
        <v>0.01</v>
      </c>
      <c r="D19" s="9">
        <v>1</v>
      </c>
    </row>
    <row r="20" spans="1:4" x14ac:dyDescent="0.2">
      <c r="A20" t="s">
        <v>75</v>
      </c>
      <c r="B20" s="9" t="s">
        <v>74</v>
      </c>
      <c r="C20" s="9">
        <v>0.01</v>
      </c>
      <c r="D20" s="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E8"/>
  <sheetViews>
    <sheetView workbookViewId="0">
      <selection activeCell="C14" sqref="C14"/>
    </sheetView>
  </sheetViews>
  <sheetFormatPr baseColWidth="10" defaultColWidth="11" defaultRowHeight="16" x14ac:dyDescent="0.2"/>
  <cols>
    <col min="1" max="1" width="24.5" customWidth="1"/>
    <col min="3" max="3" width="23.6640625" bestFit="1" customWidth="1"/>
    <col min="4" max="4" width="23.6640625" customWidth="1"/>
    <col min="5" max="5" width="41.1640625" customWidth="1"/>
  </cols>
  <sheetData>
    <row r="1" spans="1:5" x14ac:dyDescent="0.2">
      <c r="A1" t="s">
        <v>10</v>
      </c>
      <c r="B1" t="s">
        <v>77</v>
      </c>
      <c r="C1" t="s">
        <v>78</v>
      </c>
      <c r="D1" t="s">
        <v>79</v>
      </c>
      <c r="E1" t="s">
        <v>80</v>
      </c>
    </row>
    <row r="2" spans="1:5" x14ac:dyDescent="0.2">
      <c r="A2" t="s">
        <v>110</v>
      </c>
      <c r="B2" s="6">
        <v>350</v>
      </c>
      <c r="C2">
        <v>0</v>
      </c>
      <c r="D2">
        <v>0</v>
      </c>
      <c r="E2">
        <v>0</v>
      </c>
    </row>
    <row r="3" spans="1:5" x14ac:dyDescent="0.2">
      <c r="A3" t="s">
        <v>111</v>
      </c>
      <c r="B3" s="6">
        <v>1200</v>
      </c>
      <c r="C3">
        <v>0</v>
      </c>
      <c r="D3">
        <v>0</v>
      </c>
      <c r="E3">
        <v>0</v>
      </c>
    </row>
    <row r="4" spans="1:5" x14ac:dyDescent="0.2">
      <c r="A4" t="s">
        <v>112</v>
      </c>
      <c r="B4" s="6">
        <v>1400</v>
      </c>
      <c r="C4">
        <v>0</v>
      </c>
      <c r="D4">
        <v>0</v>
      </c>
      <c r="E4">
        <v>0</v>
      </c>
    </row>
    <row r="5" spans="1:5" x14ac:dyDescent="0.2">
      <c r="A5" t="s">
        <v>113</v>
      </c>
      <c r="B5" s="6">
        <v>1200</v>
      </c>
      <c r="C5">
        <v>0</v>
      </c>
      <c r="D5">
        <v>0</v>
      </c>
      <c r="E5">
        <v>0</v>
      </c>
    </row>
    <row r="6" spans="1:5" x14ac:dyDescent="0.2">
      <c r="A6" t="s">
        <v>114</v>
      </c>
      <c r="B6" s="6">
        <v>300</v>
      </c>
      <c r="C6">
        <v>0</v>
      </c>
      <c r="D6">
        <v>0</v>
      </c>
      <c r="E6">
        <v>0</v>
      </c>
    </row>
    <row r="7" spans="1:5" x14ac:dyDescent="0.2">
      <c r="A7" t="s">
        <v>115</v>
      </c>
      <c r="B7" s="6">
        <v>725</v>
      </c>
      <c r="C7">
        <v>0</v>
      </c>
      <c r="D7">
        <v>0</v>
      </c>
      <c r="E7">
        <v>0</v>
      </c>
    </row>
    <row r="8" spans="1:5" x14ac:dyDescent="0.2">
      <c r="A8" t="s">
        <v>116</v>
      </c>
      <c r="B8" s="6">
        <v>1000</v>
      </c>
      <c r="C8">
        <v>0</v>
      </c>
      <c r="D8">
        <v>0</v>
      </c>
      <c r="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D15"/>
  <sheetViews>
    <sheetView tabSelected="1" workbookViewId="0">
      <selection activeCell="I14" sqref="I14"/>
    </sheetView>
  </sheetViews>
  <sheetFormatPr baseColWidth="10" defaultColWidth="11" defaultRowHeight="16" x14ac:dyDescent="0.2"/>
  <sheetData>
    <row r="1" spans="1:4" x14ac:dyDescent="0.2">
      <c r="A1" t="s">
        <v>81</v>
      </c>
      <c r="B1" t="s">
        <v>82</v>
      </c>
      <c r="C1" t="s">
        <v>83</v>
      </c>
      <c r="D1" t="s">
        <v>84</v>
      </c>
    </row>
    <row r="2" spans="1:4" x14ac:dyDescent="0.2">
      <c r="A2" t="s">
        <v>85</v>
      </c>
      <c r="B2" t="s">
        <v>86</v>
      </c>
      <c r="C2" t="s">
        <v>87</v>
      </c>
      <c r="D2">
        <v>0</v>
      </c>
    </row>
    <row r="3" spans="1:4" x14ac:dyDescent="0.2">
      <c r="A3" t="s">
        <v>85</v>
      </c>
      <c r="B3" t="s">
        <v>88</v>
      </c>
      <c r="C3" t="s">
        <v>87</v>
      </c>
      <c r="D3">
        <v>0</v>
      </c>
    </row>
    <row r="4" spans="1:4" x14ac:dyDescent="0.2">
      <c r="A4" t="s">
        <v>85</v>
      </c>
      <c r="B4" t="s">
        <v>89</v>
      </c>
      <c r="C4" t="s">
        <v>87</v>
      </c>
      <c r="D4">
        <v>0</v>
      </c>
    </row>
    <row r="5" spans="1:4" x14ac:dyDescent="0.2">
      <c r="A5" t="s">
        <v>85</v>
      </c>
      <c r="B5" t="s">
        <v>90</v>
      </c>
      <c r="C5" t="s">
        <v>91</v>
      </c>
      <c r="D5">
        <v>0</v>
      </c>
    </row>
    <row r="6" spans="1:4" x14ac:dyDescent="0.2">
      <c r="A6" t="s">
        <v>85</v>
      </c>
      <c r="B6" t="s">
        <v>127</v>
      </c>
      <c r="C6" t="s">
        <v>87</v>
      </c>
      <c r="D6">
        <v>0</v>
      </c>
    </row>
    <row r="7" spans="1:4" x14ac:dyDescent="0.2">
      <c r="A7" t="s">
        <v>85</v>
      </c>
      <c r="B7" t="s">
        <v>128</v>
      </c>
      <c r="C7" t="s">
        <v>87</v>
      </c>
      <c r="D7">
        <v>0</v>
      </c>
    </row>
    <row r="8" spans="1:4" x14ac:dyDescent="0.2">
      <c r="A8" t="s">
        <v>85</v>
      </c>
      <c r="B8" t="s">
        <v>129</v>
      </c>
      <c r="C8" t="s">
        <v>87</v>
      </c>
      <c r="D8">
        <v>0</v>
      </c>
    </row>
    <row r="9" spans="1:4" x14ac:dyDescent="0.2">
      <c r="A9" t="s">
        <v>92</v>
      </c>
      <c r="B9" t="s">
        <v>86</v>
      </c>
      <c r="C9">
        <v>0</v>
      </c>
      <c r="D9">
        <v>0</v>
      </c>
    </row>
    <row r="10" spans="1:4" x14ac:dyDescent="0.2">
      <c r="A10" t="s">
        <v>92</v>
      </c>
      <c r="B10" t="s">
        <v>88</v>
      </c>
      <c r="C10">
        <v>0</v>
      </c>
      <c r="D10">
        <v>0</v>
      </c>
    </row>
    <row r="11" spans="1:4" x14ac:dyDescent="0.2">
      <c r="A11" t="s">
        <v>92</v>
      </c>
      <c r="B11" t="s">
        <v>89</v>
      </c>
      <c r="C11">
        <v>0</v>
      </c>
      <c r="D11">
        <v>0</v>
      </c>
    </row>
    <row r="12" spans="1:4" x14ac:dyDescent="0.2">
      <c r="A12" t="s">
        <v>92</v>
      </c>
      <c r="B12" t="s">
        <v>90</v>
      </c>
      <c r="C12">
        <v>0</v>
      </c>
      <c r="D12">
        <v>0</v>
      </c>
    </row>
    <row r="13" spans="1:4" x14ac:dyDescent="0.2">
      <c r="A13" t="s">
        <v>92</v>
      </c>
      <c r="B13" t="s">
        <v>127</v>
      </c>
      <c r="C13" s="7">
        <v>0</v>
      </c>
      <c r="D13">
        <v>0</v>
      </c>
    </row>
    <row r="14" spans="1:4" x14ac:dyDescent="0.2">
      <c r="A14" t="s">
        <v>92</v>
      </c>
      <c r="B14" t="s">
        <v>128</v>
      </c>
      <c r="C14" s="7">
        <v>0</v>
      </c>
      <c r="D14">
        <v>0</v>
      </c>
    </row>
    <row r="15" spans="1:4" x14ac:dyDescent="0.2">
      <c r="A15" t="s">
        <v>92</v>
      </c>
      <c r="B15" t="s">
        <v>129</v>
      </c>
      <c r="C15" s="7">
        <v>0</v>
      </c>
      <c r="D15">
        <v>0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F19"/>
  <sheetViews>
    <sheetView workbookViewId="0">
      <selection activeCell="C10" sqref="C10"/>
    </sheetView>
  </sheetViews>
  <sheetFormatPr baseColWidth="10" defaultColWidth="11" defaultRowHeight="16" x14ac:dyDescent="0.2"/>
  <sheetData>
    <row r="1" spans="1:6" x14ac:dyDescent="0.2">
      <c r="A1" t="s">
        <v>81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</row>
    <row r="2" spans="1:6" x14ac:dyDescent="0.2">
      <c r="A2" t="s">
        <v>98</v>
      </c>
      <c r="B2" t="s">
        <v>110</v>
      </c>
      <c r="C2" t="s">
        <v>5</v>
      </c>
      <c r="D2">
        <v>6073.65</v>
      </c>
      <c r="E2">
        <v>2566</v>
      </c>
      <c r="F2">
        <v>3507.65</v>
      </c>
    </row>
    <row r="3" spans="1:6" x14ac:dyDescent="0.2">
      <c r="A3" t="s">
        <v>98</v>
      </c>
      <c r="B3" t="s">
        <v>111</v>
      </c>
      <c r="C3" t="s">
        <v>5</v>
      </c>
      <c r="D3">
        <v>6073.65</v>
      </c>
      <c r="E3">
        <v>1842</v>
      </c>
      <c r="F3">
        <v>4231.6499999999996</v>
      </c>
    </row>
    <row r="4" spans="1:6" x14ac:dyDescent="0.2">
      <c r="A4" t="s">
        <v>98</v>
      </c>
      <c r="B4" t="s">
        <v>112</v>
      </c>
      <c r="C4" t="s">
        <v>5</v>
      </c>
      <c r="D4">
        <v>6073.65</v>
      </c>
      <c r="E4">
        <v>1568</v>
      </c>
      <c r="F4">
        <v>4505.6499999999996</v>
      </c>
    </row>
    <row r="5" spans="1:6" x14ac:dyDescent="0.2">
      <c r="A5" t="s">
        <v>98</v>
      </c>
      <c r="B5" t="s">
        <v>113</v>
      </c>
      <c r="C5" t="s">
        <v>5</v>
      </c>
      <c r="D5">
        <v>6073.65</v>
      </c>
      <c r="E5">
        <v>2210</v>
      </c>
      <c r="F5">
        <v>3863.65</v>
      </c>
    </row>
    <row r="6" spans="1:6" x14ac:dyDescent="0.2">
      <c r="A6" t="s">
        <v>98</v>
      </c>
      <c r="B6" t="s">
        <v>114</v>
      </c>
      <c r="C6" t="s">
        <v>5</v>
      </c>
      <c r="D6">
        <v>6073.65</v>
      </c>
      <c r="E6">
        <v>2625</v>
      </c>
      <c r="F6">
        <v>3448.65</v>
      </c>
    </row>
    <row r="7" spans="1:6" x14ac:dyDescent="0.2">
      <c r="A7" t="s">
        <v>98</v>
      </c>
      <c r="B7" t="s">
        <v>113</v>
      </c>
      <c r="C7" t="s">
        <v>6</v>
      </c>
      <c r="D7">
        <v>6934.7</v>
      </c>
      <c r="E7">
        <v>2127</v>
      </c>
      <c r="F7">
        <v>4807.7</v>
      </c>
    </row>
    <row r="8" spans="1:6" x14ac:dyDescent="0.2">
      <c r="A8" t="s">
        <v>98</v>
      </c>
      <c r="B8" t="s">
        <v>115</v>
      </c>
      <c r="C8" t="s">
        <v>7</v>
      </c>
      <c r="D8">
        <v>8599.8499999999985</v>
      </c>
      <c r="E8">
        <v>2669.768223345633</v>
      </c>
      <c r="F8">
        <v>5930.081776654366</v>
      </c>
    </row>
    <row r="9" spans="1:6" x14ac:dyDescent="0.2">
      <c r="A9" t="s">
        <v>98</v>
      </c>
      <c r="B9" t="s">
        <v>115</v>
      </c>
      <c r="C9" t="s">
        <v>8</v>
      </c>
      <c r="D9">
        <v>11330.7</v>
      </c>
      <c r="E9">
        <v>4295.2701693645631</v>
      </c>
      <c r="F9">
        <v>7035.4298306354358</v>
      </c>
    </row>
    <row r="10" spans="1:6" x14ac:dyDescent="0.2">
      <c r="A10" t="s">
        <v>98</v>
      </c>
      <c r="B10" t="s">
        <v>116</v>
      </c>
      <c r="C10" t="s">
        <v>59</v>
      </c>
      <c r="D10">
        <v>13239.15</v>
      </c>
      <c r="E10">
        <v>4300.8458545713584</v>
      </c>
      <c r="F10">
        <v>8938.3041454286413</v>
      </c>
    </row>
    <row r="11" spans="1:6" x14ac:dyDescent="0.2">
      <c r="A11" t="s">
        <v>99</v>
      </c>
      <c r="B11" t="s">
        <v>110</v>
      </c>
      <c r="C11" t="s">
        <v>5</v>
      </c>
      <c r="D11">
        <v>6073.65</v>
      </c>
      <c r="E11">
        <v>2701</v>
      </c>
      <c r="F11">
        <v>3372.65</v>
      </c>
    </row>
    <row r="12" spans="1:6" x14ac:dyDescent="0.2">
      <c r="A12" t="s">
        <v>99</v>
      </c>
      <c r="B12" t="s">
        <v>111</v>
      </c>
      <c r="C12" t="s">
        <v>5</v>
      </c>
      <c r="D12">
        <v>6073.65</v>
      </c>
      <c r="E12">
        <v>1977</v>
      </c>
      <c r="F12">
        <v>3602.65</v>
      </c>
    </row>
    <row r="13" spans="1:6" x14ac:dyDescent="0.2">
      <c r="A13" t="s">
        <v>99</v>
      </c>
      <c r="B13" t="s">
        <v>112</v>
      </c>
      <c r="C13" t="s">
        <v>5</v>
      </c>
      <c r="D13">
        <v>6073.65</v>
      </c>
      <c r="E13">
        <v>1703</v>
      </c>
      <c r="F13">
        <v>3876.65</v>
      </c>
    </row>
    <row r="14" spans="1:6" x14ac:dyDescent="0.2">
      <c r="A14" t="s">
        <v>99</v>
      </c>
      <c r="B14" t="s">
        <v>113</v>
      </c>
      <c r="C14" t="s">
        <v>5</v>
      </c>
      <c r="D14">
        <v>6073.65</v>
      </c>
      <c r="E14">
        <v>2345</v>
      </c>
      <c r="F14">
        <v>3234.65</v>
      </c>
    </row>
    <row r="15" spans="1:6" x14ac:dyDescent="0.2">
      <c r="A15" t="s">
        <v>99</v>
      </c>
      <c r="B15" t="s">
        <v>114</v>
      </c>
      <c r="C15" t="s">
        <v>5</v>
      </c>
      <c r="D15">
        <v>6073.65</v>
      </c>
      <c r="E15">
        <v>2760</v>
      </c>
      <c r="F15">
        <v>2819.65</v>
      </c>
    </row>
    <row r="16" spans="1:6" x14ac:dyDescent="0.2">
      <c r="A16" t="s">
        <v>99</v>
      </c>
      <c r="B16" t="s">
        <v>113</v>
      </c>
      <c r="C16" t="s">
        <v>6</v>
      </c>
      <c r="D16">
        <v>6934.7</v>
      </c>
      <c r="E16">
        <v>2262</v>
      </c>
      <c r="F16">
        <v>4046.7</v>
      </c>
    </row>
    <row r="17" spans="1:6" x14ac:dyDescent="0.2">
      <c r="A17" t="s">
        <v>99</v>
      </c>
      <c r="B17" t="s">
        <v>115</v>
      </c>
      <c r="C17" t="s">
        <v>7</v>
      </c>
      <c r="D17">
        <v>8599.8499999999985</v>
      </c>
      <c r="E17">
        <v>3426.768223345633</v>
      </c>
      <c r="F17">
        <v>5173.081776654366</v>
      </c>
    </row>
    <row r="18" spans="1:6" x14ac:dyDescent="0.2">
      <c r="A18" t="s">
        <v>99</v>
      </c>
      <c r="B18" t="s">
        <v>115</v>
      </c>
      <c r="C18" t="s">
        <v>8</v>
      </c>
      <c r="D18">
        <v>11330.7</v>
      </c>
      <c r="E18">
        <v>5232.2701693645631</v>
      </c>
      <c r="F18">
        <v>6098.4298306354358</v>
      </c>
    </row>
    <row r="19" spans="1:6" x14ac:dyDescent="0.2">
      <c r="A19" t="s">
        <v>99</v>
      </c>
      <c r="B19" t="s">
        <v>116</v>
      </c>
      <c r="C19" t="s">
        <v>59</v>
      </c>
      <c r="D19">
        <v>13239.15</v>
      </c>
      <c r="E19">
        <v>5237.8458545713584</v>
      </c>
      <c r="F19">
        <v>8001.3041454286413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workbookViewId="0"/>
  </sheetViews>
  <sheetFormatPr baseColWidth="10" defaultColWidth="8.83203125" defaultRowHeight="16" x14ac:dyDescent="0.2"/>
  <sheetData>
    <row r="1" spans="1:3" x14ac:dyDescent="0.2">
      <c r="A1" t="s">
        <v>10</v>
      </c>
      <c r="B1" t="s">
        <v>100</v>
      </c>
      <c r="C1" t="s">
        <v>101</v>
      </c>
    </row>
    <row r="2" spans="1:3" x14ac:dyDescent="0.2">
      <c r="A2" t="s">
        <v>102</v>
      </c>
      <c r="B2">
        <v>5</v>
      </c>
      <c r="C2">
        <v>10</v>
      </c>
    </row>
    <row r="3" spans="1:3" x14ac:dyDescent="0.2">
      <c r="A3" t="s">
        <v>103</v>
      </c>
      <c r="B3">
        <v>3</v>
      </c>
      <c r="C3">
        <v>15</v>
      </c>
    </row>
    <row r="4" spans="1:3" x14ac:dyDescent="0.2">
      <c r="A4" t="s">
        <v>104</v>
      </c>
      <c r="B4">
        <v>7</v>
      </c>
      <c r="C4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/>
  </sheetViews>
  <sheetFormatPr baseColWidth="10" defaultColWidth="8.83203125" defaultRowHeight="16" x14ac:dyDescent="0.2"/>
  <sheetData>
    <row r="1" spans="1:2" x14ac:dyDescent="0.2">
      <c r="A1" t="s">
        <v>82</v>
      </c>
      <c r="B1" t="s">
        <v>105</v>
      </c>
    </row>
    <row r="2" spans="1:2" x14ac:dyDescent="0.2">
      <c r="A2" t="s">
        <v>106</v>
      </c>
      <c r="B2">
        <v>100000</v>
      </c>
    </row>
    <row r="3" spans="1:2" x14ac:dyDescent="0.2">
      <c r="A3" t="s">
        <v>107</v>
      </c>
      <c r="B3">
        <v>50000</v>
      </c>
    </row>
    <row r="4" spans="1:2" x14ac:dyDescent="0.2">
      <c r="A4" t="s">
        <v>108</v>
      </c>
      <c r="B4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Systems</vt:lpstr>
      <vt:lpstr>Modules</vt:lpstr>
      <vt:lpstr>Parts</vt:lpstr>
      <vt:lpstr>QTC</vt:lpstr>
      <vt:lpstr>QTC Modules</vt:lpstr>
      <vt:lpstr>QTC Parts</vt:lpstr>
      <vt:lpstr>Conversion matrix </vt:lpstr>
      <vt:lpstr>CoreQInventory</vt:lpstr>
      <vt:lpstr>Scrap</vt:lpstr>
      <vt:lpstr>OutBase</vt:lpstr>
      <vt:lpstr>OutProfit</vt:lpstr>
      <vt:lpstr>ModelTable</vt:lpstr>
      <vt:lpstr>Out_BB</vt:lpstr>
      <vt:lpstr>Out_TOT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Mendoza</dc:creator>
  <cp:lastModifiedBy>Kodaru, Uday (Sciata)</cp:lastModifiedBy>
  <dcterms:created xsi:type="dcterms:W3CDTF">2025-11-14T21:16:14Z</dcterms:created>
  <dcterms:modified xsi:type="dcterms:W3CDTF">2025-12-04T23:01:45Z</dcterms:modified>
</cp:coreProperties>
</file>